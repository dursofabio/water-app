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ls3fwyj9bMz5nn3RkdcYpO83/FLjiX/zhu9zJVQ2oVI="/>
    </ext>
  </extLst>
</workbook>
</file>

<file path=xl/sharedStrings.xml><?xml version="1.0" encoding="utf-8"?>
<sst xmlns="http://schemas.openxmlformats.org/spreadsheetml/2006/main" count="54" uniqueCount="19">
  <si>
    <t>Data</t>
  </si>
  <si>
    <t>Pagato Da</t>
  </si>
  <si>
    <t>Fabio</t>
  </si>
  <si>
    <t>Fernando</t>
  </si>
  <si>
    <t>Daniele</t>
  </si>
  <si>
    <t>Nino</t>
  </si>
  <si>
    <t>SommaQuote</t>
  </si>
  <si>
    <t>kw/carro</t>
  </si>
  <si>
    <t>Fabio (15 fernando)</t>
  </si>
  <si>
    <t>costo kw</t>
  </si>
  <si>
    <t>Totale</t>
  </si>
  <si>
    <t>di Energia</t>
  </si>
  <si>
    <t>di Acqua</t>
  </si>
  <si>
    <t>Anticipi</t>
  </si>
  <si>
    <t>Fondo Cassa</t>
  </si>
  <si>
    <t>considerando la parte di energia</t>
  </si>
  <si>
    <t>In energia</t>
  </si>
  <si>
    <t>In Acqua</t>
  </si>
  <si>
    <t>Som anticipi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</si>
</sst>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#,##0.00\ &quot;€&quot;"/>
    <numFmt numFmtId="166" formatCode="dd/mm/yyyy"/>
    <numFmt numFmtId="167" formatCode="d/m/yyyy"/>
    <numFmt numFmtId="168" formatCode="#,##0.00&quot;€&quot;"/>
  </numFmts>
  <fonts count="8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color theme="1"/>
      <name val="Arial"/>
    </font>
    <font>
      <sz val="12.0"/>
      <color theme="1"/>
      <name val="Aptos Narrow"/>
    </font>
    <font>
      <sz val="12.0"/>
      <color theme="1"/>
      <name val="Arial"/>
    </font>
    <font/>
    <font>
      <i/>
      <sz val="12.0"/>
      <color rgb="FF000000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9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3" fontId="1" numFmtId="0" xfId="0" applyBorder="1" applyFill="1" applyFont="1"/>
    <xf borderId="1" fillId="4" fontId="1" numFmtId="0" xfId="0" applyBorder="1" applyFill="1" applyFont="1"/>
    <xf borderId="4" fillId="4" fontId="1" numFmtId="0" xfId="0" applyBorder="1" applyFont="1"/>
    <xf borderId="2" fillId="4" fontId="1" numFmtId="0" xfId="0" applyBorder="1" applyFont="1"/>
    <xf borderId="0" fillId="0" fontId="2" numFmtId="0" xfId="0" applyFont="1"/>
    <xf borderId="0" fillId="0" fontId="3" numFmtId="0" xfId="0" applyAlignment="1" applyFont="1">
      <alignment readingOrder="0"/>
    </xf>
    <xf borderId="7" fillId="2" fontId="4" numFmtId="164" xfId="0" applyBorder="1" applyFont="1" applyNumberFormat="1"/>
    <xf borderId="8" fillId="2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3" fontId="4" numFmtId="0" xfId="0" applyBorder="1" applyFont="1"/>
    <xf borderId="7" fillId="4" fontId="4" numFmtId="165" xfId="0" applyBorder="1" applyFont="1" applyNumberFormat="1"/>
    <xf borderId="13" fillId="4" fontId="4" numFmtId="165" xfId="0" applyBorder="1" applyFont="1" applyNumberFormat="1"/>
    <xf borderId="8" fillId="4" fontId="4" numFmtId="165" xfId="0" applyBorder="1" applyFont="1" applyNumberFormat="1"/>
    <xf borderId="14" fillId="2" fontId="4" numFmtId="164" xfId="0" applyBorder="1" applyFont="1" applyNumberFormat="1"/>
    <xf borderId="15" fillId="2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3" fontId="4" numFmtId="0" xfId="0" applyBorder="1" applyFont="1"/>
    <xf borderId="14" fillId="4" fontId="4" numFmtId="165" xfId="0" applyBorder="1" applyFont="1" applyNumberFormat="1"/>
    <xf borderId="17" fillId="4" fontId="4" numFmtId="165" xfId="0" applyBorder="1" applyFont="1" applyNumberFormat="1"/>
    <xf borderId="15" fillId="4" fontId="4" numFmtId="165" xfId="0" applyBorder="1" applyFont="1" applyNumberFormat="1"/>
    <xf borderId="17" fillId="0" fontId="5" numFmtId="0" xfId="0" applyAlignment="1" applyBorder="1" applyFont="1">
      <alignment readingOrder="0"/>
    </xf>
    <xf borderId="18" fillId="0" fontId="5" numFmtId="0" xfId="0" applyAlignment="1" applyBorder="1" applyFont="1">
      <alignment readingOrder="0"/>
    </xf>
    <xf borderId="14" fillId="2" fontId="4" numFmtId="164" xfId="0" applyAlignment="1" applyBorder="1" applyFont="1" applyNumberFormat="1">
      <alignment readingOrder="0"/>
    </xf>
    <xf borderId="15" fillId="2" fontId="4" numFmtId="0" xfId="0" applyAlignment="1" applyBorder="1" applyFont="1">
      <alignment readingOrder="0"/>
    </xf>
    <xf borderId="16" fillId="0" fontId="4" numFmtId="0" xfId="0" applyAlignment="1" applyBorder="1" applyFont="1">
      <alignment readingOrder="0"/>
    </xf>
    <xf borderId="17" fillId="0" fontId="4" numFmtId="0" xfId="0" applyAlignment="1" applyBorder="1" applyFont="1">
      <alignment readingOrder="0"/>
    </xf>
    <xf borderId="18" fillId="0" fontId="4" numFmtId="0" xfId="0" applyAlignment="1" applyBorder="1" applyFont="1">
      <alignment readingOrder="0"/>
    </xf>
    <xf borderId="14" fillId="2" fontId="4" numFmtId="166" xfId="0" applyAlignment="1" applyBorder="1" applyFont="1" applyNumberFormat="1">
      <alignment readingOrder="0"/>
    </xf>
    <xf borderId="16" fillId="0" fontId="5" numFmtId="0" xfId="0" applyAlignment="1" applyBorder="1" applyFont="1">
      <alignment readingOrder="0"/>
    </xf>
    <xf borderId="14" fillId="2" fontId="5" numFmtId="166" xfId="0" applyAlignment="1" applyBorder="1" applyFont="1" applyNumberFormat="1">
      <alignment readingOrder="0"/>
    </xf>
    <xf borderId="15" fillId="2" fontId="5" numFmtId="0" xfId="0" applyAlignment="1" applyBorder="1" applyFont="1">
      <alignment readingOrder="0"/>
    </xf>
    <xf borderId="14" fillId="2" fontId="4" numFmtId="167" xfId="0" applyAlignment="1" applyBorder="1" applyFont="1" applyNumberFormat="1">
      <alignment readingOrder="0"/>
    </xf>
    <xf borderId="14" fillId="2" fontId="5" numFmtId="167" xfId="0" applyAlignment="1" applyBorder="1" applyFont="1" applyNumberFormat="1">
      <alignment readingOrder="0"/>
    </xf>
    <xf borderId="20" fillId="2" fontId="4" numFmtId="167" xfId="0" applyAlignment="1" applyBorder="1" applyFont="1" applyNumberFormat="1">
      <alignment readingOrder="0"/>
    </xf>
    <xf borderId="21" fillId="2" fontId="4" numFmtId="0" xfId="0" applyAlignment="1" applyBorder="1" applyFont="1">
      <alignment readingOrder="0"/>
    </xf>
    <xf borderId="22" fillId="0" fontId="5" numFmtId="0" xfId="0" applyAlignment="1" applyBorder="1" applyFont="1">
      <alignment readingOrder="0"/>
    </xf>
    <xf borderId="23" fillId="0" fontId="4" numFmtId="0" xfId="0" applyBorder="1" applyFont="1"/>
    <xf borderId="23" fillId="0" fontId="4" numFmtId="0" xfId="0" applyAlignment="1" applyBorder="1" applyFont="1">
      <alignment readingOrder="0"/>
    </xf>
    <xf borderId="24" fillId="0" fontId="4" numFmtId="0" xfId="0" applyBorder="1" applyFont="1"/>
    <xf borderId="25" fillId="3" fontId="4" numFmtId="0" xfId="0" applyBorder="1" applyFont="1"/>
    <xf borderId="20" fillId="4" fontId="4" numFmtId="165" xfId="0" applyBorder="1" applyFont="1" applyNumberFormat="1"/>
    <xf borderId="26" fillId="4" fontId="4" numFmtId="165" xfId="0" applyBorder="1" applyFont="1" applyNumberFormat="1"/>
    <xf borderId="21" fillId="4" fontId="4" numFmtId="165" xfId="0" applyBorder="1" applyFont="1" applyNumberFormat="1"/>
    <xf borderId="22" fillId="0" fontId="4" numFmtId="0" xfId="0" applyAlignment="1" applyBorder="1" applyFont="1">
      <alignment readingOrder="0"/>
    </xf>
    <xf borderId="20" fillId="2" fontId="4" numFmtId="166" xfId="0" applyAlignment="1" applyBorder="1" applyFont="1" applyNumberFormat="1">
      <alignment readingOrder="0"/>
    </xf>
    <xf borderId="20" fillId="2" fontId="5" numFmtId="166" xfId="0" applyAlignment="1" applyBorder="1" applyFont="1" applyNumberFormat="1">
      <alignment readingOrder="0"/>
    </xf>
    <xf borderId="24" fillId="0" fontId="4" numFmtId="0" xfId="0" applyAlignment="1" applyBorder="1" applyFont="1">
      <alignment readingOrder="0"/>
    </xf>
    <xf borderId="23" fillId="0" fontId="5" numFmtId="0" xfId="0" applyAlignment="1" applyBorder="1" applyFont="1">
      <alignment readingOrder="0"/>
    </xf>
    <xf borderId="24" fillId="0" fontId="5" numFmtId="0" xfId="0" applyAlignment="1" applyBorder="1" applyFont="1">
      <alignment readingOrder="0"/>
    </xf>
    <xf borderId="20" fillId="2" fontId="4" numFmtId="0" xfId="0" applyBorder="1" applyFont="1"/>
    <xf borderId="21" fillId="2" fontId="4" numFmtId="0" xfId="0" applyBorder="1" applyFont="1"/>
    <xf borderId="22" fillId="0" fontId="4" numFmtId="0" xfId="0" applyBorder="1" applyFont="1"/>
    <xf borderId="2" fillId="2" fontId="1" numFmtId="165" xfId="0" applyBorder="1" applyFont="1" applyNumberFormat="1"/>
    <xf borderId="1" fillId="4" fontId="1" numFmtId="165" xfId="0" applyBorder="1" applyFont="1" applyNumberFormat="1"/>
    <xf borderId="4" fillId="4" fontId="1" numFmtId="165" xfId="0" applyBorder="1" applyFont="1" applyNumberFormat="1"/>
    <xf borderId="2" fillId="4" fontId="1" numFmtId="165" xfId="0" applyBorder="1" applyFont="1" applyNumberFormat="1"/>
    <xf borderId="27" fillId="0" fontId="1" numFmtId="0" xfId="0" applyBorder="1" applyFont="1"/>
    <xf borderId="28" fillId="0" fontId="1" numFmtId="0" xfId="0" applyBorder="1" applyFont="1"/>
    <xf borderId="29" fillId="2" fontId="1" numFmtId="165" xfId="0" applyBorder="1" applyFont="1" applyNumberFormat="1"/>
    <xf borderId="30" fillId="0" fontId="4" numFmtId="0" xfId="0" applyAlignment="1" applyBorder="1" applyFont="1">
      <alignment horizontal="center"/>
    </xf>
    <xf borderId="31" fillId="0" fontId="6" numFmtId="0" xfId="0" applyBorder="1" applyFont="1"/>
    <xf borderId="32" fillId="0" fontId="6" numFmtId="0" xfId="0" applyBorder="1" applyFont="1"/>
    <xf borderId="0" fillId="0" fontId="4" numFmtId="165" xfId="0" applyFont="1" applyNumberFormat="1"/>
    <xf borderId="27" fillId="0" fontId="4" numFmtId="0" xfId="0" applyBorder="1" applyFont="1"/>
    <xf borderId="33" fillId="0" fontId="4" numFmtId="0" xfId="0" applyBorder="1" applyFont="1"/>
    <xf borderId="34" fillId="0" fontId="4" numFmtId="0" xfId="0" applyBorder="1" applyFont="1"/>
    <xf borderId="35" fillId="0" fontId="4" numFmtId="165" xfId="0" applyAlignment="1" applyBorder="1" applyFont="1" applyNumberFormat="1">
      <alignment readingOrder="0"/>
    </xf>
    <xf borderId="0" fillId="0" fontId="5" numFmtId="165" xfId="0" applyAlignment="1" applyFont="1" applyNumberFormat="1">
      <alignment readingOrder="0"/>
    </xf>
    <xf borderId="36" fillId="0" fontId="5" numFmtId="165" xfId="0" applyAlignment="1" applyBorder="1" applyFont="1" applyNumberFormat="1">
      <alignment readingOrder="0"/>
    </xf>
    <xf borderId="30" fillId="0" fontId="4" numFmtId="0" xfId="0" applyBorder="1" applyFont="1"/>
    <xf borderId="32" fillId="0" fontId="4" numFmtId="165" xfId="0" applyBorder="1" applyFont="1" applyNumberFormat="1"/>
    <xf borderId="0" fillId="0" fontId="7" numFmtId="168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35" fillId="0" fontId="5" numFmtId="165" xfId="0" applyAlignment="1" applyBorder="1" applyFont="1" applyNumberFormat="1">
      <alignment readingOrder="0"/>
    </xf>
    <xf borderId="0" fillId="0" fontId="4" numFmtId="165" xfId="0" applyAlignment="1" applyFont="1" applyNumberFormat="1">
      <alignment readingOrder="0"/>
    </xf>
    <xf borderId="35" fillId="0" fontId="4" numFmtId="0" xfId="0" applyBorder="1" applyFont="1"/>
    <xf borderId="36" fillId="0" fontId="4" numFmtId="165" xfId="0" applyBorder="1" applyFont="1" applyNumberFormat="1"/>
    <xf borderId="28" fillId="0" fontId="4" numFmtId="0" xfId="0" applyBorder="1" applyFont="1"/>
    <xf borderId="37" fillId="0" fontId="4" numFmtId="165" xfId="0" applyBorder="1" applyFont="1" applyNumberFormat="1"/>
    <xf borderId="30" fillId="0" fontId="4" numFmtId="165" xfId="0" applyBorder="1" applyFont="1" applyNumberFormat="1"/>
    <xf borderId="31" fillId="0" fontId="4" numFmtId="165" xfId="0" applyBorder="1" applyFont="1" applyNumberFormat="1"/>
    <xf borderId="28" fillId="0" fontId="4" numFmtId="165" xfId="0" applyBorder="1" applyFont="1" applyNumberFormat="1"/>
    <xf borderId="38" fillId="0" fontId="4" numFmtId="165" xfId="0" applyBorder="1" applyFont="1" applyNumberFormat="1"/>
    <xf borderId="27" fillId="0" fontId="4" numFmtId="165" xfId="0" applyAlignment="1" applyBorder="1" applyFont="1" applyNumberFormat="1">
      <alignment horizontal="center"/>
    </xf>
    <xf borderId="33" fillId="0" fontId="6" numFmtId="0" xfId="0" applyBorder="1" applyFont="1"/>
    <xf borderId="34" fillId="0" fontId="6" numFmtId="0" xfId="0" applyBorder="1" applyFont="1"/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44"/>
    <col customWidth="1" min="2" max="2" width="13.22"/>
    <col customWidth="1" min="3" max="6" width="8.33"/>
    <col customWidth="1" min="7" max="7" width="10.67"/>
    <col customWidth="1" min="8" max="11" width="13.44"/>
    <col customWidth="1" min="12" max="26" width="8.3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2</v>
      </c>
      <c r="I1" s="8" t="s">
        <v>3</v>
      </c>
      <c r="J1" s="8" t="s">
        <v>4</v>
      </c>
      <c r="K1" s="9" t="s">
        <v>5</v>
      </c>
      <c r="T1" s="10">
        <v>45.0</v>
      </c>
      <c r="U1" s="11">
        <v>10.0</v>
      </c>
      <c r="V1" s="10">
        <f>SUM(T1:U1)</f>
        <v>55</v>
      </c>
    </row>
    <row r="2" ht="15.75" customHeight="1">
      <c r="A2" s="12">
        <v>45792.0</v>
      </c>
      <c r="B2" s="13" t="s">
        <v>2</v>
      </c>
      <c r="C2" s="14">
        <v>1.0</v>
      </c>
      <c r="D2" s="15">
        <v>1.0</v>
      </c>
      <c r="E2" s="15">
        <v>0.0</v>
      </c>
      <c r="F2" s="16">
        <v>0.0</v>
      </c>
      <c r="G2" s="17">
        <f t="shared" ref="G2:G37" si="1">SUM(C2:F2)</f>
        <v>2</v>
      </c>
      <c r="H2" s="18">
        <f t="shared" ref="H2:H37" si="2">IF($G2 = 0,0,$V$1/$G2*$C2)</f>
        <v>27.5</v>
      </c>
      <c r="I2" s="19">
        <f t="shared" ref="I2:I37" si="3">IF($G2 = 0,0,$V$1/$G2*$D2)</f>
        <v>27.5</v>
      </c>
      <c r="J2" s="19">
        <f t="shared" ref="J2:J37" si="4">IF($G2 = 0,0,$V$1/$G2*$E2)</f>
        <v>0</v>
      </c>
      <c r="K2" s="20">
        <f t="shared" ref="K2:K37" si="5">IF($G2 = 0,0,$V$1/$G2*$F2)</f>
        <v>0</v>
      </c>
      <c r="T2" s="10">
        <f>T1/V1</f>
        <v>0.8181818182</v>
      </c>
      <c r="U2" s="10">
        <f>U1/V1</f>
        <v>0.1818181818</v>
      </c>
    </row>
    <row r="3" ht="15.75" customHeight="1">
      <c r="A3" s="21">
        <v>45812.0</v>
      </c>
      <c r="B3" s="22" t="s">
        <v>2</v>
      </c>
      <c r="C3" s="23">
        <v>1.0</v>
      </c>
      <c r="D3" s="24">
        <v>1.0</v>
      </c>
      <c r="E3" s="24">
        <v>0.0</v>
      </c>
      <c r="F3" s="25">
        <v>0.0</v>
      </c>
      <c r="G3" s="26">
        <f t="shared" si="1"/>
        <v>2</v>
      </c>
      <c r="H3" s="27">
        <f t="shared" si="2"/>
        <v>27.5</v>
      </c>
      <c r="I3" s="28">
        <f t="shared" si="3"/>
        <v>27.5</v>
      </c>
      <c r="J3" s="28">
        <f t="shared" si="4"/>
        <v>0</v>
      </c>
      <c r="K3" s="29">
        <f t="shared" si="5"/>
        <v>0</v>
      </c>
    </row>
    <row r="4" ht="15.75" customHeight="1">
      <c r="A4" s="21">
        <v>45825.0</v>
      </c>
      <c r="B4" s="22" t="s">
        <v>3</v>
      </c>
      <c r="C4" s="23">
        <v>1.0</v>
      </c>
      <c r="D4" s="24">
        <v>1.0</v>
      </c>
      <c r="E4" s="24">
        <v>0.0</v>
      </c>
      <c r="F4" s="25">
        <v>0.0</v>
      </c>
      <c r="G4" s="26">
        <f t="shared" si="1"/>
        <v>2</v>
      </c>
      <c r="H4" s="27">
        <f t="shared" si="2"/>
        <v>27.5</v>
      </c>
      <c r="I4" s="28">
        <f t="shared" si="3"/>
        <v>27.5</v>
      </c>
      <c r="J4" s="28">
        <f t="shared" si="4"/>
        <v>0</v>
      </c>
      <c r="K4" s="29">
        <f t="shared" si="5"/>
        <v>0</v>
      </c>
    </row>
    <row r="5" ht="15.75" customHeight="1">
      <c r="A5" s="21">
        <v>45838.0</v>
      </c>
      <c r="B5" s="22" t="s">
        <v>3</v>
      </c>
      <c r="C5" s="23">
        <v>1.0</v>
      </c>
      <c r="D5" s="24">
        <v>2.0</v>
      </c>
      <c r="E5" s="24">
        <v>0.0</v>
      </c>
      <c r="F5" s="25">
        <v>0.0</v>
      </c>
      <c r="G5" s="26">
        <f t="shared" si="1"/>
        <v>3</v>
      </c>
      <c r="H5" s="27">
        <f t="shared" si="2"/>
        <v>18.33333333</v>
      </c>
      <c r="I5" s="28">
        <f t="shared" si="3"/>
        <v>36.66666667</v>
      </c>
      <c r="J5" s="28">
        <f t="shared" si="4"/>
        <v>0</v>
      </c>
      <c r="K5" s="29">
        <f t="shared" si="5"/>
        <v>0</v>
      </c>
      <c r="U5" s="11">
        <v>36.0</v>
      </c>
      <c r="V5" s="11" t="s">
        <v>7</v>
      </c>
    </row>
    <row r="6" ht="15.75" customHeight="1">
      <c r="A6" s="21">
        <v>45850.0</v>
      </c>
      <c r="B6" s="22" t="s">
        <v>8</v>
      </c>
      <c r="C6" s="23">
        <v>1.0</v>
      </c>
      <c r="D6" s="24">
        <v>2.0</v>
      </c>
      <c r="E6" s="24">
        <v>0.0</v>
      </c>
      <c r="F6" s="25">
        <v>1.0</v>
      </c>
      <c r="G6" s="26">
        <f t="shared" si="1"/>
        <v>4</v>
      </c>
      <c r="H6" s="27">
        <f t="shared" si="2"/>
        <v>13.75</v>
      </c>
      <c r="I6" s="28">
        <f t="shared" si="3"/>
        <v>27.5</v>
      </c>
      <c r="J6" s="28">
        <f t="shared" si="4"/>
        <v>0</v>
      </c>
      <c r="K6" s="29">
        <f t="shared" si="5"/>
        <v>13.75</v>
      </c>
      <c r="U6" s="11">
        <v>0.25</v>
      </c>
      <c r="V6" s="11" t="s">
        <v>9</v>
      </c>
    </row>
    <row r="7" ht="15.75" customHeight="1">
      <c r="A7" s="21">
        <v>45859.0</v>
      </c>
      <c r="B7" s="22" t="s">
        <v>3</v>
      </c>
      <c r="C7" s="23">
        <v>1.0</v>
      </c>
      <c r="D7" s="24">
        <v>2.0</v>
      </c>
      <c r="E7" s="24">
        <v>1.0</v>
      </c>
      <c r="F7" s="25">
        <v>1.0</v>
      </c>
      <c r="G7" s="26">
        <f t="shared" si="1"/>
        <v>5</v>
      </c>
      <c r="H7" s="27">
        <f t="shared" si="2"/>
        <v>11</v>
      </c>
      <c r="I7" s="28">
        <f t="shared" si="3"/>
        <v>22</v>
      </c>
      <c r="J7" s="28">
        <f t="shared" si="4"/>
        <v>11</v>
      </c>
      <c r="K7" s="29">
        <f t="shared" si="5"/>
        <v>11</v>
      </c>
      <c r="U7" s="10">
        <f>U5*U6</f>
        <v>9</v>
      </c>
    </row>
    <row r="8" ht="15.75" customHeight="1">
      <c r="A8" s="21">
        <v>45868.0</v>
      </c>
      <c r="B8" s="22" t="s">
        <v>2</v>
      </c>
      <c r="C8" s="23">
        <v>1.0</v>
      </c>
      <c r="D8" s="30">
        <v>1.0</v>
      </c>
      <c r="E8" s="24">
        <v>1.0</v>
      </c>
      <c r="F8" s="31">
        <v>1.0</v>
      </c>
      <c r="G8" s="26">
        <f t="shared" si="1"/>
        <v>4</v>
      </c>
      <c r="H8" s="27">
        <f t="shared" si="2"/>
        <v>13.75</v>
      </c>
      <c r="I8" s="28">
        <f t="shared" si="3"/>
        <v>13.75</v>
      </c>
      <c r="J8" s="28">
        <f t="shared" si="4"/>
        <v>13.75</v>
      </c>
      <c r="K8" s="29">
        <f t="shared" si="5"/>
        <v>13.75</v>
      </c>
      <c r="U8" s="11"/>
    </row>
    <row r="9" ht="15.75" customHeight="1">
      <c r="A9" s="32">
        <v>45889.0</v>
      </c>
      <c r="B9" s="33" t="s">
        <v>5</v>
      </c>
      <c r="C9" s="34">
        <v>1.0</v>
      </c>
      <c r="D9" s="35">
        <v>1.0</v>
      </c>
      <c r="E9" s="35">
        <v>2.0</v>
      </c>
      <c r="F9" s="36">
        <v>1.0</v>
      </c>
      <c r="G9" s="26">
        <f t="shared" si="1"/>
        <v>5</v>
      </c>
      <c r="H9" s="27">
        <f t="shared" si="2"/>
        <v>11</v>
      </c>
      <c r="I9" s="28">
        <f t="shared" si="3"/>
        <v>11</v>
      </c>
      <c r="J9" s="28">
        <f t="shared" si="4"/>
        <v>22</v>
      </c>
      <c r="K9" s="29">
        <f t="shared" si="5"/>
        <v>11</v>
      </c>
    </row>
    <row r="10" ht="15.75" customHeight="1">
      <c r="A10" s="37">
        <v>45885.0</v>
      </c>
      <c r="B10" s="33" t="s">
        <v>5</v>
      </c>
      <c r="C10" s="38">
        <v>1.25</v>
      </c>
      <c r="D10" s="35">
        <v>1.0</v>
      </c>
      <c r="E10" s="35">
        <v>2.0</v>
      </c>
      <c r="F10" s="36">
        <v>1.0</v>
      </c>
      <c r="G10" s="26">
        <f t="shared" si="1"/>
        <v>5.25</v>
      </c>
      <c r="H10" s="27">
        <f t="shared" si="2"/>
        <v>13.0952381</v>
      </c>
      <c r="I10" s="28">
        <f t="shared" si="3"/>
        <v>10.47619048</v>
      </c>
      <c r="J10" s="28">
        <f t="shared" si="4"/>
        <v>20.95238095</v>
      </c>
      <c r="K10" s="29">
        <f t="shared" si="5"/>
        <v>10.47619048</v>
      </c>
    </row>
    <row r="11" ht="15.75" customHeight="1">
      <c r="A11" s="39">
        <v>45892.0</v>
      </c>
      <c r="B11" s="40" t="s">
        <v>2</v>
      </c>
      <c r="C11" s="38">
        <v>1.0</v>
      </c>
      <c r="D11" s="30">
        <v>1.0</v>
      </c>
      <c r="E11" s="30">
        <v>1.0</v>
      </c>
      <c r="F11" s="31">
        <v>1.0</v>
      </c>
      <c r="G11" s="26">
        <f t="shared" si="1"/>
        <v>4</v>
      </c>
      <c r="H11" s="27">
        <f t="shared" si="2"/>
        <v>13.75</v>
      </c>
      <c r="I11" s="28">
        <f t="shared" si="3"/>
        <v>13.75</v>
      </c>
      <c r="J11" s="28">
        <f t="shared" si="4"/>
        <v>13.75</v>
      </c>
      <c r="K11" s="29">
        <f t="shared" si="5"/>
        <v>13.75</v>
      </c>
    </row>
    <row r="12" ht="15.75" customHeight="1">
      <c r="A12" s="37">
        <v>45930.0</v>
      </c>
      <c r="B12" s="33" t="s">
        <v>2</v>
      </c>
      <c r="C12" s="34">
        <v>1.0</v>
      </c>
      <c r="D12" s="35">
        <v>1.0</v>
      </c>
      <c r="E12" s="35">
        <v>1.0</v>
      </c>
      <c r="F12" s="36">
        <v>1.0</v>
      </c>
      <c r="G12" s="26">
        <f t="shared" si="1"/>
        <v>4</v>
      </c>
      <c r="H12" s="27">
        <f t="shared" si="2"/>
        <v>13.75</v>
      </c>
      <c r="I12" s="28">
        <f t="shared" si="3"/>
        <v>13.75</v>
      </c>
      <c r="J12" s="28">
        <f t="shared" si="4"/>
        <v>13.75</v>
      </c>
      <c r="K12" s="29">
        <f t="shared" si="5"/>
        <v>13.75</v>
      </c>
    </row>
    <row r="13" ht="15.75" customHeight="1">
      <c r="A13" s="37">
        <v>45905.0</v>
      </c>
      <c r="B13" s="33" t="s">
        <v>2</v>
      </c>
      <c r="C13" s="34">
        <v>1.0</v>
      </c>
      <c r="D13" s="35">
        <v>1.0</v>
      </c>
      <c r="E13" s="35">
        <v>1.0</v>
      </c>
      <c r="F13" s="36">
        <v>1.0</v>
      </c>
      <c r="G13" s="26">
        <f t="shared" si="1"/>
        <v>4</v>
      </c>
      <c r="H13" s="27">
        <f t="shared" si="2"/>
        <v>13.75</v>
      </c>
      <c r="I13" s="28">
        <f t="shared" si="3"/>
        <v>13.75</v>
      </c>
      <c r="J13" s="28">
        <f t="shared" si="4"/>
        <v>13.75</v>
      </c>
      <c r="K13" s="29">
        <f t="shared" si="5"/>
        <v>13.75</v>
      </c>
    </row>
    <row r="14" ht="15.75" customHeight="1">
      <c r="A14" s="39">
        <v>45916.0</v>
      </c>
      <c r="B14" s="33" t="s">
        <v>2</v>
      </c>
      <c r="C14" s="38">
        <v>1.0</v>
      </c>
      <c r="D14" s="30">
        <v>1.0</v>
      </c>
      <c r="E14" s="30">
        <v>1.0</v>
      </c>
      <c r="F14" s="31">
        <v>1.0</v>
      </c>
      <c r="G14" s="26">
        <f t="shared" si="1"/>
        <v>4</v>
      </c>
      <c r="H14" s="27">
        <f t="shared" si="2"/>
        <v>13.75</v>
      </c>
      <c r="I14" s="28">
        <f t="shared" si="3"/>
        <v>13.75</v>
      </c>
      <c r="J14" s="28">
        <f t="shared" si="4"/>
        <v>13.75</v>
      </c>
      <c r="K14" s="29">
        <f t="shared" si="5"/>
        <v>13.75</v>
      </c>
    </row>
    <row r="15" ht="15.75" customHeight="1">
      <c r="A15" s="39">
        <v>45925.0</v>
      </c>
      <c r="B15" s="40" t="s">
        <v>2</v>
      </c>
      <c r="C15" s="38">
        <v>1.0</v>
      </c>
      <c r="D15" s="24">
        <v>0.0</v>
      </c>
      <c r="E15" s="30">
        <v>1.0</v>
      </c>
      <c r="F15" s="31">
        <v>1.0</v>
      </c>
      <c r="G15" s="26">
        <f t="shared" si="1"/>
        <v>3</v>
      </c>
      <c r="H15" s="27">
        <f t="shared" si="2"/>
        <v>18.33333333</v>
      </c>
      <c r="I15" s="28">
        <f t="shared" si="3"/>
        <v>0</v>
      </c>
      <c r="J15" s="28">
        <f t="shared" si="4"/>
        <v>18.33333333</v>
      </c>
      <c r="K15" s="29">
        <f t="shared" si="5"/>
        <v>18.33333333</v>
      </c>
    </row>
    <row r="16" ht="15.75" customHeight="1">
      <c r="A16" s="37">
        <v>45937.0</v>
      </c>
      <c r="B16" s="33" t="s">
        <v>2</v>
      </c>
      <c r="C16" s="34">
        <v>3.0</v>
      </c>
      <c r="D16" s="24">
        <v>0.0</v>
      </c>
      <c r="E16" s="35">
        <v>2.0</v>
      </c>
      <c r="F16" s="36">
        <v>2.0</v>
      </c>
      <c r="G16" s="26">
        <f t="shared" si="1"/>
        <v>7</v>
      </c>
      <c r="H16" s="27">
        <f t="shared" si="2"/>
        <v>23.57142857</v>
      </c>
      <c r="I16" s="28">
        <f t="shared" si="3"/>
        <v>0</v>
      </c>
      <c r="J16" s="28">
        <f t="shared" si="4"/>
        <v>15.71428571</v>
      </c>
      <c r="K16" s="29">
        <f t="shared" si="5"/>
        <v>15.71428571</v>
      </c>
    </row>
    <row r="17" ht="15.75" customHeight="1">
      <c r="A17" s="41">
        <v>45955.0</v>
      </c>
      <c r="B17" s="33" t="s">
        <v>4</v>
      </c>
      <c r="C17" s="34">
        <v>3.0</v>
      </c>
      <c r="D17" s="24">
        <v>0.0</v>
      </c>
      <c r="E17" s="35">
        <v>2.0</v>
      </c>
      <c r="F17" s="25">
        <v>0.0</v>
      </c>
      <c r="G17" s="26">
        <f t="shared" si="1"/>
        <v>5</v>
      </c>
      <c r="H17" s="27">
        <f t="shared" si="2"/>
        <v>33</v>
      </c>
      <c r="I17" s="28">
        <f t="shared" si="3"/>
        <v>0</v>
      </c>
      <c r="J17" s="28">
        <f t="shared" si="4"/>
        <v>22</v>
      </c>
      <c r="K17" s="29">
        <f t="shared" si="5"/>
        <v>0</v>
      </c>
    </row>
    <row r="18" ht="15.75" customHeight="1">
      <c r="A18" s="37">
        <v>45966.0</v>
      </c>
      <c r="B18" s="33" t="s">
        <v>2</v>
      </c>
      <c r="C18" s="34">
        <v>3.0</v>
      </c>
      <c r="D18" s="24">
        <v>0.0</v>
      </c>
      <c r="E18" s="35">
        <v>2.0</v>
      </c>
      <c r="F18" s="25">
        <v>0.0</v>
      </c>
      <c r="G18" s="26">
        <f t="shared" si="1"/>
        <v>5</v>
      </c>
      <c r="H18" s="27">
        <f t="shared" si="2"/>
        <v>33</v>
      </c>
      <c r="I18" s="28">
        <f t="shared" si="3"/>
        <v>0</v>
      </c>
      <c r="J18" s="28">
        <f t="shared" si="4"/>
        <v>22</v>
      </c>
      <c r="K18" s="29">
        <f t="shared" si="5"/>
        <v>0</v>
      </c>
    </row>
    <row r="19" ht="15.75" customHeight="1">
      <c r="A19" s="42">
        <v>45987.0</v>
      </c>
      <c r="B19" s="40" t="s">
        <v>2</v>
      </c>
      <c r="C19" s="38">
        <v>2.0</v>
      </c>
      <c r="D19" s="24">
        <v>0.0</v>
      </c>
      <c r="E19" s="30">
        <v>2.0</v>
      </c>
      <c r="F19" s="25">
        <v>0.0</v>
      </c>
      <c r="G19" s="26">
        <f t="shared" si="1"/>
        <v>4</v>
      </c>
      <c r="H19" s="27">
        <f t="shared" si="2"/>
        <v>27.5</v>
      </c>
      <c r="I19" s="28">
        <f t="shared" si="3"/>
        <v>0</v>
      </c>
      <c r="J19" s="28">
        <f t="shared" si="4"/>
        <v>27.5</v>
      </c>
      <c r="K19" s="29">
        <f t="shared" si="5"/>
        <v>0</v>
      </c>
    </row>
    <row r="20" ht="15.75" customHeight="1">
      <c r="A20" s="43">
        <v>46003.0</v>
      </c>
      <c r="B20" s="44" t="s">
        <v>2</v>
      </c>
      <c r="C20" s="45">
        <v>2.0</v>
      </c>
      <c r="D20" s="46">
        <v>0.0</v>
      </c>
      <c r="E20" s="47">
        <v>2.0</v>
      </c>
      <c r="F20" s="48">
        <v>0.0</v>
      </c>
      <c r="G20" s="49">
        <f t="shared" si="1"/>
        <v>4</v>
      </c>
      <c r="H20" s="50">
        <f t="shared" si="2"/>
        <v>27.5</v>
      </c>
      <c r="I20" s="51">
        <f t="shared" si="3"/>
        <v>0</v>
      </c>
      <c r="J20" s="51">
        <f t="shared" si="4"/>
        <v>27.5</v>
      </c>
      <c r="K20" s="52">
        <f t="shared" si="5"/>
        <v>0</v>
      </c>
    </row>
    <row r="21" ht="15.75" customHeight="1">
      <c r="A21" s="43">
        <v>46011.0</v>
      </c>
      <c r="B21" s="44" t="s">
        <v>2</v>
      </c>
      <c r="C21" s="53">
        <v>1.0</v>
      </c>
      <c r="D21" s="46">
        <v>0.0</v>
      </c>
      <c r="E21" s="47">
        <v>1.0</v>
      </c>
      <c r="F21" s="48">
        <v>0.0</v>
      </c>
      <c r="G21" s="49">
        <f t="shared" si="1"/>
        <v>2</v>
      </c>
      <c r="H21" s="50">
        <f t="shared" si="2"/>
        <v>27.5</v>
      </c>
      <c r="I21" s="51">
        <f t="shared" si="3"/>
        <v>0</v>
      </c>
      <c r="J21" s="51">
        <f t="shared" si="4"/>
        <v>27.5</v>
      </c>
      <c r="K21" s="52">
        <f t="shared" si="5"/>
        <v>0</v>
      </c>
    </row>
    <row r="22" ht="15.75" customHeight="1">
      <c r="A22" s="54">
        <v>46032.0</v>
      </c>
      <c r="B22" s="44" t="s">
        <v>4</v>
      </c>
      <c r="C22" s="53">
        <v>1.0</v>
      </c>
      <c r="D22" s="46">
        <v>0.0</v>
      </c>
      <c r="E22" s="47">
        <v>1.0</v>
      </c>
      <c r="F22" s="48">
        <v>0.0</v>
      </c>
      <c r="G22" s="49">
        <f t="shared" si="1"/>
        <v>2</v>
      </c>
      <c r="H22" s="50">
        <f t="shared" si="2"/>
        <v>27.5</v>
      </c>
      <c r="I22" s="51">
        <f t="shared" si="3"/>
        <v>0</v>
      </c>
      <c r="J22" s="51">
        <f t="shared" si="4"/>
        <v>27.5</v>
      </c>
      <c r="K22" s="52">
        <f t="shared" si="5"/>
        <v>0</v>
      </c>
    </row>
    <row r="23" ht="15.75" customHeight="1">
      <c r="A23" s="54">
        <v>46049.0</v>
      </c>
      <c r="B23" s="44" t="s">
        <v>2</v>
      </c>
      <c r="C23" s="53">
        <v>2.0</v>
      </c>
      <c r="D23" s="46">
        <v>0.0</v>
      </c>
      <c r="E23" s="47">
        <v>1.0</v>
      </c>
      <c r="F23" s="48">
        <v>0.0</v>
      </c>
      <c r="G23" s="49">
        <f t="shared" si="1"/>
        <v>3</v>
      </c>
      <c r="H23" s="50">
        <f t="shared" si="2"/>
        <v>36.66666667</v>
      </c>
      <c r="I23" s="51">
        <f t="shared" si="3"/>
        <v>0</v>
      </c>
      <c r="J23" s="51">
        <f t="shared" si="4"/>
        <v>18.33333333</v>
      </c>
      <c r="K23" s="52">
        <f t="shared" si="5"/>
        <v>0</v>
      </c>
    </row>
    <row r="24" ht="15.75" customHeight="1">
      <c r="A24" s="54">
        <v>46071.0</v>
      </c>
      <c r="B24" s="44" t="s">
        <v>2</v>
      </c>
      <c r="C24" s="53">
        <v>1.0</v>
      </c>
      <c r="D24" s="46">
        <v>0.0</v>
      </c>
      <c r="E24" s="47">
        <v>1.0</v>
      </c>
      <c r="F24" s="48">
        <v>0.0</v>
      </c>
      <c r="G24" s="49">
        <f t="shared" si="1"/>
        <v>2</v>
      </c>
      <c r="H24" s="50">
        <f t="shared" si="2"/>
        <v>27.5</v>
      </c>
      <c r="I24" s="51">
        <f t="shared" si="3"/>
        <v>0</v>
      </c>
      <c r="J24" s="51">
        <f t="shared" si="4"/>
        <v>27.5</v>
      </c>
      <c r="K24" s="52">
        <f t="shared" si="5"/>
        <v>0</v>
      </c>
    </row>
    <row r="25" ht="15.75" customHeight="1">
      <c r="A25" s="54">
        <v>46086.0</v>
      </c>
      <c r="B25" s="44" t="s">
        <v>2</v>
      </c>
      <c r="C25" s="53">
        <v>1.0</v>
      </c>
      <c r="D25" s="46">
        <v>0.0</v>
      </c>
      <c r="E25" s="47">
        <v>1.0</v>
      </c>
      <c r="F25" s="48">
        <v>0.0</v>
      </c>
      <c r="G25" s="49">
        <f t="shared" si="1"/>
        <v>2</v>
      </c>
      <c r="H25" s="50">
        <f t="shared" si="2"/>
        <v>27.5</v>
      </c>
      <c r="I25" s="51">
        <f t="shared" si="3"/>
        <v>0</v>
      </c>
      <c r="J25" s="51">
        <f t="shared" si="4"/>
        <v>27.5</v>
      </c>
      <c r="K25" s="52">
        <f t="shared" si="5"/>
        <v>0</v>
      </c>
    </row>
    <row r="26" ht="15.75" customHeight="1">
      <c r="A26" s="55">
        <v>46102.0</v>
      </c>
      <c r="B26" s="44" t="s">
        <v>2</v>
      </c>
      <c r="C26" s="53">
        <v>1.0</v>
      </c>
      <c r="D26" s="46">
        <v>0.0</v>
      </c>
      <c r="E26" s="47">
        <v>1.0</v>
      </c>
      <c r="F26" s="48">
        <v>0.0</v>
      </c>
      <c r="G26" s="49">
        <f t="shared" si="1"/>
        <v>2</v>
      </c>
      <c r="H26" s="50">
        <f t="shared" si="2"/>
        <v>27.5</v>
      </c>
      <c r="I26" s="51">
        <f t="shared" si="3"/>
        <v>0</v>
      </c>
      <c r="J26" s="51">
        <f t="shared" si="4"/>
        <v>27.5</v>
      </c>
      <c r="K26" s="52">
        <f t="shared" si="5"/>
        <v>0</v>
      </c>
    </row>
    <row r="27" ht="15.75" customHeight="1">
      <c r="A27" s="55">
        <v>46116.0</v>
      </c>
      <c r="B27" s="44" t="s">
        <v>2</v>
      </c>
      <c r="C27" s="53">
        <v>1.0</v>
      </c>
      <c r="D27" s="46">
        <v>0.0</v>
      </c>
      <c r="E27" s="47">
        <v>1.0</v>
      </c>
      <c r="F27" s="48">
        <v>0.0</v>
      </c>
      <c r="G27" s="49">
        <f t="shared" si="1"/>
        <v>2</v>
      </c>
      <c r="H27" s="50">
        <f t="shared" si="2"/>
        <v>27.5</v>
      </c>
      <c r="I27" s="51">
        <f t="shared" si="3"/>
        <v>0</v>
      </c>
      <c r="J27" s="51">
        <f t="shared" si="4"/>
        <v>27.5</v>
      </c>
      <c r="K27" s="52">
        <f t="shared" si="5"/>
        <v>0</v>
      </c>
    </row>
    <row r="28" ht="15.75" customHeight="1">
      <c r="A28" s="54">
        <v>46129.0</v>
      </c>
      <c r="B28" s="44" t="s">
        <v>2</v>
      </c>
      <c r="C28" s="53">
        <v>1.0</v>
      </c>
      <c r="D28" s="47">
        <v>0.0</v>
      </c>
      <c r="E28" s="47">
        <v>1.0</v>
      </c>
      <c r="F28" s="56">
        <v>0.0</v>
      </c>
      <c r="G28" s="49">
        <f t="shared" si="1"/>
        <v>2</v>
      </c>
      <c r="H28" s="50">
        <f t="shared" si="2"/>
        <v>27.5</v>
      </c>
      <c r="I28" s="51">
        <f t="shared" si="3"/>
        <v>0</v>
      </c>
      <c r="J28" s="51">
        <f t="shared" si="4"/>
        <v>27.5</v>
      </c>
      <c r="K28" s="52">
        <f t="shared" si="5"/>
        <v>0</v>
      </c>
    </row>
    <row r="29" ht="15.75" customHeight="1">
      <c r="A29" s="55">
        <v>46142.0</v>
      </c>
      <c r="B29" s="44" t="s">
        <v>2</v>
      </c>
      <c r="C29" s="45">
        <v>2.0</v>
      </c>
      <c r="D29" s="57">
        <v>0.0</v>
      </c>
      <c r="E29" s="57">
        <v>1.0</v>
      </c>
      <c r="F29" s="58">
        <v>0.0</v>
      </c>
      <c r="G29" s="49">
        <f t="shared" si="1"/>
        <v>3</v>
      </c>
      <c r="H29" s="50">
        <f t="shared" si="2"/>
        <v>36.66666667</v>
      </c>
      <c r="I29" s="51">
        <f t="shared" si="3"/>
        <v>0</v>
      </c>
      <c r="J29" s="51">
        <f t="shared" si="4"/>
        <v>18.33333333</v>
      </c>
      <c r="K29" s="52">
        <f t="shared" si="5"/>
        <v>0</v>
      </c>
    </row>
    <row r="30" ht="15.75" customHeight="1">
      <c r="A30" s="54">
        <v>46162.0</v>
      </c>
      <c r="B30" s="44"/>
      <c r="C30" s="53">
        <v>2.0</v>
      </c>
      <c r="D30" s="47">
        <v>1.0</v>
      </c>
      <c r="E30" s="47">
        <v>1.0</v>
      </c>
      <c r="F30" s="56">
        <v>0.0</v>
      </c>
      <c r="G30" s="49">
        <f t="shared" si="1"/>
        <v>4</v>
      </c>
      <c r="H30" s="50">
        <f t="shared" si="2"/>
        <v>27.5</v>
      </c>
      <c r="I30" s="51">
        <f t="shared" si="3"/>
        <v>13.75</v>
      </c>
      <c r="J30" s="51">
        <f t="shared" si="4"/>
        <v>13.75</v>
      </c>
      <c r="K30" s="52">
        <f t="shared" si="5"/>
        <v>0</v>
      </c>
    </row>
    <row r="31" ht="15.75" customHeight="1">
      <c r="A31" s="54">
        <v>46171.0</v>
      </c>
      <c r="B31" s="44"/>
      <c r="C31" s="53">
        <v>2.0</v>
      </c>
      <c r="D31" s="47">
        <v>1.0</v>
      </c>
      <c r="E31" s="47">
        <v>2.0</v>
      </c>
      <c r="F31" s="48"/>
      <c r="G31" s="49">
        <f t="shared" si="1"/>
        <v>5</v>
      </c>
      <c r="H31" s="50">
        <f t="shared" si="2"/>
        <v>22</v>
      </c>
      <c r="I31" s="51">
        <f t="shared" si="3"/>
        <v>11</v>
      </c>
      <c r="J31" s="51">
        <f t="shared" si="4"/>
        <v>22</v>
      </c>
      <c r="K31" s="52">
        <f t="shared" si="5"/>
        <v>0</v>
      </c>
    </row>
    <row r="32" ht="15.75" customHeight="1">
      <c r="A32" s="54"/>
      <c r="B32" s="44"/>
      <c r="C32" s="53"/>
      <c r="D32" s="46"/>
      <c r="E32" s="47"/>
      <c r="F32" s="48"/>
      <c r="G32" s="49">
        <f t="shared" si="1"/>
        <v>0</v>
      </c>
      <c r="H32" s="50">
        <f t="shared" si="2"/>
        <v>0</v>
      </c>
      <c r="I32" s="51">
        <f t="shared" si="3"/>
        <v>0</v>
      </c>
      <c r="J32" s="51">
        <f t="shared" si="4"/>
        <v>0</v>
      </c>
      <c r="K32" s="52">
        <f t="shared" si="5"/>
        <v>0</v>
      </c>
    </row>
    <row r="33" ht="15.75" customHeight="1">
      <c r="A33" s="54"/>
      <c r="B33" s="44"/>
      <c r="C33" s="53"/>
      <c r="D33" s="46"/>
      <c r="E33" s="47"/>
      <c r="F33" s="48"/>
      <c r="G33" s="49">
        <f t="shared" si="1"/>
        <v>0</v>
      </c>
      <c r="H33" s="50">
        <f t="shared" si="2"/>
        <v>0</v>
      </c>
      <c r="I33" s="51">
        <f t="shared" si="3"/>
        <v>0</v>
      </c>
      <c r="J33" s="51">
        <f t="shared" si="4"/>
        <v>0</v>
      </c>
      <c r="K33" s="52">
        <f t="shared" si="5"/>
        <v>0</v>
      </c>
    </row>
    <row r="34" ht="15.75" customHeight="1">
      <c r="A34" s="54"/>
      <c r="B34" s="44"/>
      <c r="C34" s="53"/>
      <c r="D34" s="46"/>
      <c r="E34" s="47"/>
      <c r="F34" s="48"/>
      <c r="G34" s="49">
        <f t="shared" si="1"/>
        <v>0</v>
      </c>
      <c r="H34" s="50">
        <f t="shared" si="2"/>
        <v>0</v>
      </c>
      <c r="I34" s="51">
        <f t="shared" si="3"/>
        <v>0</v>
      </c>
      <c r="J34" s="51">
        <f t="shared" si="4"/>
        <v>0</v>
      </c>
      <c r="K34" s="52">
        <f t="shared" si="5"/>
        <v>0</v>
      </c>
    </row>
    <row r="35" ht="15.75" customHeight="1">
      <c r="A35" s="54"/>
      <c r="B35" s="44"/>
      <c r="C35" s="53"/>
      <c r="D35" s="46"/>
      <c r="E35" s="47"/>
      <c r="F35" s="48"/>
      <c r="G35" s="49">
        <f t="shared" si="1"/>
        <v>0</v>
      </c>
      <c r="H35" s="50">
        <f t="shared" si="2"/>
        <v>0</v>
      </c>
      <c r="I35" s="51">
        <f t="shared" si="3"/>
        <v>0</v>
      </c>
      <c r="J35" s="51">
        <f t="shared" si="4"/>
        <v>0</v>
      </c>
      <c r="K35" s="52">
        <f t="shared" si="5"/>
        <v>0</v>
      </c>
    </row>
    <row r="36" ht="15.75" customHeight="1">
      <c r="A36" s="54"/>
      <c r="B36" s="44"/>
      <c r="C36" s="53"/>
      <c r="D36" s="46"/>
      <c r="E36" s="47"/>
      <c r="F36" s="48"/>
      <c r="G36" s="49">
        <f t="shared" si="1"/>
        <v>0</v>
      </c>
      <c r="H36" s="50">
        <f t="shared" si="2"/>
        <v>0</v>
      </c>
      <c r="I36" s="51">
        <f t="shared" si="3"/>
        <v>0</v>
      </c>
      <c r="J36" s="51">
        <f t="shared" si="4"/>
        <v>0</v>
      </c>
      <c r="K36" s="52">
        <f t="shared" si="5"/>
        <v>0</v>
      </c>
    </row>
    <row r="37" ht="15.75" customHeight="1">
      <c r="A37" s="59"/>
      <c r="B37" s="60"/>
      <c r="C37" s="61"/>
      <c r="D37" s="46"/>
      <c r="E37" s="46"/>
      <c r="F37" s="48"/>
      <c r="G37" s="49">
        <f t="shared" si="1"/>
        <v>0</v>
      </c>
      <c r="H37" s="50">
        <f t="shared" si="2"/>
        <v>0</v>
      </c>
      <c r="I37" s="51">
        <f t="shared" si="3"/>
        <v>0</v>
      </c>
      <c r="J37" s="51">
        <f t="shared" si="4"/>
        <v>0</v>
      </c>
      <c r="K37" s="52">
        <f t="shared" si="5"/>
        <v>0</v>
      </c>
    </row>
    <row r="38" ht="15.75" customHeight="1">
      <c r="A38" s="1" t="s">
        <v>10</v>
      </c>
      <c r="B38" s="62">
        <f>COUNTA(A2:A37)*V1</f>
        <v>1650</v>
      </c>
      <c r="C38" s="3">
        <f t="shared" ref="C38:K38" si="6">SUM(C2:C37)</f>
        <v>42.25</v>
      </c>
      <c r="D38" s="4">
        <f t="shared" si="6"/>
        <v>18</v>
      </c>
      <c r="E38" s="4">
        <f t="shared" si="6"/>
        <v>33</v>
      </c>
      <c r="F38" s="5">
        <f t="shared" si="6"/>
        <v>12</v>
      </c>
      <c r="G38" s="6">
        <f t="shared" si="6"/>
        <v>105.25</v>
      </c>
      <c r="H38" s="63">
        <f t="shared" si="6"/>
        <v>696.6666667</v>
      </c>
      <c r="I38" s="64">
        <f t="shared" si="6"/>
        <v>283.6428571</v>
      </c>
      <c r="J38" s="64">
        <f t="shared" si="6"/>
        <v>520.6666667</v>
      </c>
      <c r="K38" s="65">
        <f t="shared" si="6"/>
        <v>149.0238095</v>
      </c>
    </row>
    <row r="39" ht="15.75" customHeight="1">
      <c r="A39" s="66" t="s">
        <v>11</v>
      </c>
      <c r="B39" s="62">
        <f>COUNTA(A3:A38)*U1</f>
        <v>300</v>
      </c>
    </row>
    <row r="40" ht="15.75" customHeight="1">
      <c r="A40" s="67" t="s">
        <v>12</v>
      </c>
      <c r="B40" s="68">
        <f>COUNTA(A4:A39)*T1</f>
        <v>1350</v>
      </c>
      <c r="H40" s="69" t="s">
        <v>13</v>
      </c>
      <c r="I40" s="70"/>
      <c r="J40" s="70"/>
      <c r="K40" s="71"/>
    </row>
    <row r="41" ht="15.75" customHeight="1">
      <c r="G41" s="72"/>
      <c r="H41" s="73" t="s">
        <v>2</v>
      </c>
      <c r="I41" s="74" t="s">
        <v>3</v>
      </c>
      <c r="J41" s="74" t="s">
        <v>4</v>
      </c>
      <c r="K41" s="75" t="s">
        <v>5</v>
      </c>
    </row>
    <row r="42" ht="15.75" customHeight="1">
      <c r="G42" s="72"/>
      <c r="H42" s="76">
        <v>420.0</v>
      </c>
      <c r="I42" s="72">
        <v>200.0</v>
      </c>
      <c r="J42" s="77">
        <v>290.0</v>
      </c>
      <c r="K42" s="78">
        <v>100.0</v>
      </c>
    </row>
    <row r="43" ht="15.75" customHeight="1">
      <c r="A43" s="79" t="s">
        <v>14</v>
      </c>
      <c r="B43" s="80">
        <f>H48-B38</f>
        <v>-119</v>
      </c>
      <c r="C43" s="81">
        <f>B39+B43</f>
        <v>181</v>
      </c>
      <c r="D43" s="82" t="s">
        <v>15</v>
      </c>
      <c r="G43" s="72"/>
      <c r="H43" s="83">
        <v>190.0</v>
      </c>
      <c r="I43" s="84">
        <v>60.0</v>
      </c>
      <c r="J43" s="77">
        <v>141.0</v>
      </c>
      <c r="K43" s="78">
        <v>50.0</v>
      </c>
    </row>
    <row r="44" ht="15.75" customHeight="1">
      <c r="A44" s="85" t="s">
        <v>16</v>
      </c>
      <c r="B44" s="86">
        <f>B43*U2</f>
        <v>-21.63636364</v>
      </c>
      <c r="G44" s="72"/>
      <c r="H44" s="83">
        <v>45.0</v>
      </c>
      <c r="I44" s="77">
        <v>0.0</v>
      </c>
      <c r="J44" s="77">
        <v>35.0</v>
      </c>
      <c r="K44" s="78">
        <v>0.0</v>
      </c>
    </row>
    <row r="45" ht="15.75" customHeight="1">
      <c r="A45" s="87" t="s">
        <v>17</v>
      </c>
      <c r="B45" s="88">
        <f>B43*T2</f>
        <v>-97.36363636</v>
      </c>
      <c r="G45" s="72"/>
      <c r="H45" s="83"/>
      <c r="I45" s="72"/>
      <c r="J45" s="77"/>
      <c r="K45" s="86"/>
    </row>
    <row r="46" ht="15.75" customHeight="1">
      <c r="H46" s="89">
        <f t="shared" ref="H46:K46" si="7">SUM(H42:H45)</f>
        <v>655</v>
      </c>
      <c r="I46" s="90">
        <f t="shared" si="7"/>
        <v>260</v>
      </c>
      <c r="J46" s="90">
        <f t="shared" si="7"/>
        <v>466</v>
      </c>
      <c r="K46" s="80">
        <f t="shared" si="7"/>
        <v>150</v>
      </c>
    </row>
    <row r="47" ht="15.75" customHeight="1">
      <c r="H47" s="91">
        <f t="shared" ref="H47:K47" si="8">H46-H38</f>
        <v>-41.66666667</v>
      </c>
      <c r="I47" s="92">
        <f t="shared" si="8"/>
        <v>-23.64285714</v>
      </c>
      <c r="J47" s="92">
        <f t="shared" si="8"/>
        <v>-54.66666667</v>
      </c>
      <c r="K47" s="88">
        <f t="shared" si="8"/>
        <v>0.9761904762</v>
      </c>
    </row>
    <row r="48" ht="15.75" customHeight="1">
      <c r="G48" s="10" t="s">
        <v>18</v>
      </c>
      <c r="H48" s="93">
        <f>SUM(H46:K46)</f>
        <v>1531</v>
      </c>
      <c r="I48" s="94"/>
      <c r="J48" s="94"/>
      <c r="K48" s="95"/>
    </row>
    <row r="49" ht="15.75" customHeight="1"/>
    <row r="50" ht="15.75" customHeight="1">
      <c r="H50" s="72"/>
    </row>
    <row r="51" ht="15.75" customHeight="1">
      <c r="H51" s="72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2">
    <mergeCell ref="H40:K40"/>
    <mergeCell ref="H48:K48"/>
  </mergeCells>
  <conditionalFormatting sqref="H47:K47">
    <cfRule type="cellIs" dxfId="0" priority="1" operator="lessThan">
      <formula>0</formula>
    </cfRule>
  </conditionalFormatting>
  <conditionalFormatting sqref="H47:K47">
    <cfRule type="cellIs" dxfId="1" priority="2" operator="greaterThanOr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2025-08-01T07:31:00Z</dcterms:created>
  <dc:creator>Fabio D'Urso</dc:creator>
</cp:coreProperties>
</file>